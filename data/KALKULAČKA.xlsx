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zabavitelná částka" sheetId="1" r:id="rId4"/>
    <sheet state="visible" name="Insolvence" sheetId="2" r:id="rId5"/>
    <sheet state="hidden" name="Kontrola" sheetId="3" r:id="rId6"/>
    <sheet state="hidden" name="Parametry" sheetId="4" r:id="rId7"/>
  </sheets>
  <definedNames>
    <definedName name="ZivotniMinimum">Parametry!$B$5</definedName>
    <definedName name="EnergetickyPausal">Parametry!$B$7</definedName>
    <definedName name="NormativniNajemne">Parametry!$B$6</definedName>
  </definedNames>
  <calcPr/>
  <extLst>
    <ext uri="GoogleSheetsCustomDataVersion2">
      <go:sheetsCustomData xmlns:go="http://customooxmlschemas.google.com/" r:id="rId8" roundtripDataChecksum="Tbj7vC3CsnSPSsafbKfguFhAcsS3fwC7Pf2a6ZhlfH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ID#AAAB2YyAXqk
M365 Copilot    (2026-03-22 20:08:37)
Zadejte svou čistou mzdu za měsíc v Kč (po dani a odvodech) + NAČÍTÁ SE DO LISTU INSOLVENCE</t>
      </text>
    </comment>
    <comment authorId="0" ref="B8">
      <text>
        <t xml:space="preserve">======
ID#AAAB2YyAXqg
M365 Copilot    (2026-03-22 20:08:37)
Typ pohledávky pro model srážek: 1 = přednostní, 0 = nepřednostní.</t>
      </text>
    </comment>
    <comment authorId="0" ref="B5">
      <text>
        <t xml:space="preserve">======
ID#AAAB2YyAXqc
M365 Copilot    (2026-03-22 20:08:37)
Počet nezaopatřených dětí, na které máte vyživovací povinnost (0, 1, 2, …).</t>
      </text>
    </comment>
    <comment authorId="0" ref="B6">
      <text>
        <t xml:space="preserve">======
ID#AAAB2YyAXqY
M365 Copilot    (2026-03-22 20:08:37)
Započíst manžela/manželku dle zákonné výjimky od 1/2025? 1 = ANO, 0 = NE.</t>
      </text>
    </comment>
    <comment authorId="0" ref="B7">
      <text>
        <t xml:space="preserve">======
ID#AAAB2YyAXqQ
M365 Copilot    (2026-03-22 20:08:37)
Počet dalších vyživovaných osob (mimo děti a manžela/manželku).</t>
      </text>
    </comment>
  </commentList>
  <extLst>
    <ext uri="GoogleSheetsCustomDataVersion2">
      <go:sheetsCustomData xmlns:go="http://customooxmlschemas.google.com/" r:id="rId1" roundtripDataSignature="AMtx7mi10ucvaHq4ZkyOezPnjxmRTMoQW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======
ID#AAAB2ZKKP3c
M365 Copilot    (2026-03-22 20:08:37)
Běžné výživné placené měsíčně (vzniklé po rozhodnutí o úpadku) – Kč.</t>
      </text>
    </comment>
    <comment authorId="0" ref="B25">
      <text>
        <t xml:space="preserve">======
ID#AAAB2ZKKP3U
M365 Copilot    (2026-03-22 20:08:37)
Odhad celkového dluhu nezajištěných věřitelů v Kč pro výpočet % uspokojení.</t>
      </text>
    </comment>
    <comment authorId="0" ref="B5">
      <text>
        <t xml:space="preserve">======
ID#AAAB2YyAXqo
M365 Copilot    (2026-03-22 20:08:37)
Společné oddlužení manželů? 1 = ANO (použije se vyšší odměna IS), 0 = NE.</t>
      </text>
    </comment>
    <comment authorId="0" ref="B26">
      <text>
        <t xml:space="preserve">======
ID#AAAB2YyAXqM
M365 Copilot    (2026-03-22 20:08:37)
Počet měsíců trvání splácení (obvykle 36 nebo 60).</t>
      </text>
    </comment>
  </commentList>
  <extLst>
    <ext uri="GoogleSheetsCustomDataVersion2">
      <go:sheetsCustomData xmlns:go="http://customooxmlschemas.google.com/" r:id="rId1" roundtripDataSignature="AMtx7miYzNOLpOkVnMEJmrirfBS3cVIEI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ID#AAAB2ZKKP3Y
M365 Copilot    (2026-03-22 20:08:37)
Životní minimum jednotlivce (Kč). Při změně právní úpravy upravte.</t>
      </text>
    </comment>
    <comment authorId="0" ref="B6">
      <text>
        <t xml:space="preserve">======
ID#AAAB2YyAXqU
M365 Copilot    (2026-03-22 20:08:37)
Normativní nájemné pro 1 osobu ve velké obci (Kč). Lze upravit podle potřeby.</t>
      </text>
    </comment>
    <comment authorId="0" ref="B7">
      <text>
        <t xml:space="preserve">======
ID#AAAB2YyAXqI
M365 Copilot    (2026-03-22 20:08:37)
Energetický paušál (Kč). Lze upravit podle potřeby.</t>
      </text>
    </comment>
  </commentList>
  <extLst>
    <ext uri="GoogleSheetsCustomDataVersion2">
      <go:sheetsCustomData xmlns:go="http://customooxmlschemas.google.com/" r:id="rId1" roundtripDataSignature="AMtx7mgEOFooc1dghDTs688fM49i8Ra7Og=="/>
    </ext>
  </extLst>
</comments>
</file>

<file path=xl/sharedStrings.xml><?xml version="1.0" encoding="utf-8"?>
<sst xmlns="http://schemas.openxmlformats.org/spreadsheetml/2006/main" count="179" uniqueCount="98">
  <si>
    <t>Výpočet srážek ze mzdy (2026) – nezabavitelná částka a srážka</t>
  </si>
  <si>
    <t>Bílé buňky = vyplňte ručně</t>
  </si>
  <si>
    <t>VSTUPNÍ ÚDAJE</t>
  </si>
  <si>
    <t>Poznámky</t>
  </si>
  <si>
    <t>Čistá mzda (Kč)</t>
  </si>
  <si>
    <t>Výpočet dle pravidel od 1.1.2026: základ = 85 % × (ŽM + normativní nájemné + energetický paušál).</t>
  </si>
  <si>
    <t>Počet nezaopatřených dětí (vyživované osoby)</t>
  </si>
  <si>
    <t>Limit plně zabavitelného zbytku: 1,9 × (ŽM + normativní nájemné + energetický paušál).</t>
  </si>
  <si>
    <r>
      <rPr>
        <rFont val="Calibri"/>
        <color theme="1"/>
        <sz val="11.0"/>
      </rPr>
      <t xml:space="preserve">Započíst manžela/manželku? </t>
    </r>
    <r>
      <rPr>
        <rFont val="Calibri"/>
        <b/>
        <color theme="1"/>
        <sz val="11.0"/>
      </rPr>
      <t>(1=ANO, 0=NE)</t>
    </r>
    <r>
      <rPr>
        <rFont val="Calibri"/>
        <color theme="1"/>
        <sz val="11.0"/>
      </rPr>
      <t xml:space="preserve"> – jen dle výjimky od 2025</t>
    </r>
  </si>
  <si>
    <t>Vyživovaná osoba: od 1.1.2025 se manžel/ka NEzapočítává automaticky; jen při zákonné výjimce.</t>
  </si>
  <si>
    <t>Počet dalších vyživovaných osob (jiné než děti a manžel/ka)</t>
  </si>
  <si>
    <r>
      <rPr>
        <rFont val="Calibri"/>
        <color theme="1"/>
        <sz val="11.0"/>
      </rPr>
      <t xml:space="preserve">Přednostní pohledávka? </t>
    </r>
    <r>
      <rPr>
        <rFont val="Calibri"/>
        <b/>
        <color theme="1"/>
        <sz val="11.0"/>
      </rPr>
      <t>(1=ANO, 0=NE)</t>
    </r>
  </si>
  <si>
    <t>VÝPOČET A VÝSLEDKY</t>
  </si>
  <si>
    <t>Součet tří složek (ŽM + normativní nájemné + energetický paušál)</t>
  </si>
  <si>
    <t>Základ na dlužníka = 85 % ze součtu (Kč)</t>
  </si>
  <si>
    <t>Počet vyživovaných osob (děti + manžel/ka dle výjimky + jiné)</t>
  </si>
  <si>
    <t>Nezabavitelná částka na vyživované osoby = 1/4 ze základu × počet</t>
  </si>
  <si>
    <t>Nezabavitelná částka CELKEM (dlužník + vyživované)</t>
  </si>
  <si>
    <t>Zbytek čisté mzdy po odečtení nezabavitelné (R)</t>
  </si>
  <si>
    <t>Limit plně zabavitelného zbytku = 1,9 × součet tří složek</t>
  </si>
  <si>
    <t>Plně zabavitelná část (nad limit)</t>
  </si>
  <si>
    <t>Dělitelná část pro třetiny</t>
  </si>
  <si>
    <t>Jedna třetina (zaokrouhleno dolů na celé Kč)</t>
  </si>
  <si>
    <t>Srážka u NEPŘEDNOSTNÍ pohledávky</t>
  </si>
  <si>
    <t>Srážka u PŘEDNOSTNÍ pohledávky</t>
  </si>
  <si>
    <t>Částka k výplatě (nepřednostní)</t>
  </si>
  <si>
    <t>Částka k výplatě (přednostní)</t>
  </si>
  <si>
    <t>Srážka podle zadaného typu (B8)</t>
  </si>
  <si>
    <t>Částka k výplatě podle zadaného typu</t>
  </si>
  <si>
    <t>INSOLVENCE – výpočet měsíční splátky do oddlužení (2026)</t>
  </si>
  <si>
    <t>VSTUP</t>
  </si>
  <si>
    <t>Společné oddlužení manželů? (1=ANO, 0=NE)</t>
  </si>
  <si>
    <t>Odměna insolvenčního správce (jednotlivec, Kč/měsíc)</t>
  </si>
  <si>
    <t>Odměna insolvenčního správce (manželé, Kč/měsíc)</t>
  </si>
  <si>
    <t>PŘEVZATÉ HODNOTY (z listu Vstup a výstup)</t>
  </si>
  <si>
    <t>Nezabavitelná částka CELKEM (B16)</t>
  </si>
  <si>
    <t>Zbytek čisté mzdy po odečtení nezabavitelné R (B17)</t>
  </si>
  <si>
    <t>Plně zabavitelná část (B19)</t>
  </si>
  <si>
    <t>Jedna třetina (B21)</t>
  </si>
  <si>
    <t>Srážka jako u přednostní pohledávky (B24)</t>
  </si>
  <si>
    <t>VÝPOČET SPLÁTKY</t>
  </si>
  <si>
    <t>Odměna IS použitá podle režimu</t>
  </si>
  <si>
    <t>Měsíční splátka před odměnou IS</t>
  </si>
  <si>
    <t>Měsíční splátka po odečtení odměny IS (K)</t>
  </si>
  <si>
    <t>ORIENTAČNÍ ODHAD Uspokojení věřitelů</t>
  </si>
  <si>
    <t>Odhad celkového dluhu nezajištěných (Kč)</t>
  </si>
  <si>
    <t>Počet měsíců splácení (obvykle 60)</t>
  </si>
  <si>
    <t>Odhad % uspokojení nezajištěných</t>
  </si>
  <si>
    <t>Vyživovací povinnost</t>
  </si>
  <si>
    <t>Běžné výživné (měsíčně; vzniklé po rozhodnutí o úpadku)</t>
  </si>
  <si>
    <t>K dispozici po odečtu IS (K)</t>
  </si>
  <si>
    <t>Úhrada běžného výživného</t>
  </si>
  <si>
    <t>Zůstatek po běžném výživném</t>
  </si>
  <si>
    <t>Kontrola vzorců – nalezeno problémů: 0</t>
  </si>
  <si>
    <t>List</t>
  </si>
  <si>
    <t>Buňka</t>
  </si>
  <si>
    <t>Vzorec</t>
  </si>
  <si>
    <t>Stav</t>
  </si>
  <si>
    <t>Poznámka</t>
  </si>
  <si>
    <t>Vstup a výstup</t>
  </si>
  <si>
    <t>B12</t>
  </si>
  <si>
    <t>OK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</si>
  <si>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</si>
  <si>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</si>
  <si>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</si>
  <si>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</si>
  <si>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</si>
  <si>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</si>
  <si>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</si>
  <si>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</si>
  <si>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</si>
  <si>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B23</t>
  </si>
  <si>
    <t>B24</t>
  </si>
  <si>
    <t>B26</t>
  </si>
  <si>
    <t>B27</t>
  </si>
  <si>
    <t>B29</t>
  </si>
  <si>
    <t>B30</t>
  </si>
  <si>
    <t>Insolvence</t>
  </si>
  <si>
    <t>B11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</si>
  <si>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</si>
  <si>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</si>
  <si>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</si>
  <si>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</si>
  <si>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</si>
  <si>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</si>
  <si>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</si>
  <si>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</si>
  <si>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</si>
  <si>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</si>
  <si>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</si>
  <si>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</si>
  <si>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</si>
  <si>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Parametry (lze upravit při změně právních částek)</t>
  </si>
  <si>
    <t>Zelené buňky = vyplňte ručně</t>
  </si>
  <si>
    <t>POZN.: Částky lze kdykoli upravit (např. změna ŽM od 1.10.2026).</t>
  </si>
  <si>
    <t>Životní minimum jednotlivce (Kč)</t>
  </si>
  <si>
    <t>Normativní nájemné – 1 osoba, obec ≥70k (Kč)</t>
  </si>
  <si>
    <t>Energetický paušál – 1 osoba (Kč)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</si>
</sst>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&quot;Kč&quot;"/>
    <numFmt numFmtId="165" formatCode="#,##0\ &quot;Kč&quot;;\-#,##0\ &quot;Kč&quot;"/>
    <numFmt numFmtId="166" formatCode="0.0%"/>
    <numFmt numFmtId="167" formatCode="#,##0.0\ &quot;Kč&quot;;\-#,##0.0\ &quot;Kč&quot;"/>
  </numFmts>
  <fonts count="9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b/>
      <sz val="16.0"/>
      <color theme="0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1.0"/>
      <color rgb="FF0061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DAEEF3"/>
        <bgColor rgb="FFDAEEF3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F0D9"/>
        <bgColor rgb="FFE2F0D9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9E9E9E"/>
      </right>
      <top style="medium">
        <color rgb="FF000000"/>
      </top>
      <bottom style="medium">
        <color rgb="FF000000"/>
      </bottom>
    </border>
    <border>
      <left style="thin">
        <color rgb="FF9E9E9E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9E9E9E"/>
      </left>
      <right style="thin">
        <color rgb="FF9E9E9E"/>
      </right>
      <top style="thin">
        <color rgb="FF9E9E9E"/>
      </top>
      <bottom/>
    </border>
    <border>
      <left style="thin">
        <color rgb="FF9E9E9E"/>
      </left>
      <right style="thin">
        <color rgb="FF9E9E9E"/>
      </right>
      <top/>
      <bottom style="thin">
        <color rgb="FF9E9E9E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4" fontId="3" numFmtId="0" xfId="0" applyBorder="1" applyFill="1" applyFont="1"/>
    <xf borderId="1" fillId="4" fontId="4" numFmtId="0" xfId="0" applyAlignment="1" applyBorder="1" applyFont="1">
      <alignment horizontal="center"/>
    </xf>
    <xf borderId="5" fillId="2" fontId="5" numFmtId="0" xfId="0" applyBorder="1" applyFont="1"/>
    <xf borderId="5" fillId="2" fontId="3" numFmtId="0" xfId="0" applyBorder="1" applyFont="1"/>
    <xf borderId="6" fillId="5" fontId="5" numFmtId="0" xfId="0" applyBorder="1" applyFill="1" applyFont="1"/>
    <xf borderId="5" fillId="6" fontId="3" numFmtId="0" xfId="0" applyBorder="1" applyFill="1" applyFont="1"/>
    <xf borderId="5" fillId="5" fontId="5" numFmtId="164" xfId="0" applyAlignment="1" applyBorder="1" applyFont="1" applyNumberFormat="1">
      <alignment horizontal="center" readingOrder="0"/>
    </xf>
    <xf borderId="7" fillId="5" fontId="3" numFmtId="0" xfId="0" applyAlignment="1" applyBorder="1" applyFont="1">
      <alignment shrinkToFit="0" wrapText="1"/>
    </xf>
    <xf borderId="8" fillId="0" fontId="2" numFmtId="0" xfId="0" applyBorder="1" applyFont="1"/>
    <xf borderId="9" fillId="0" fontId="2" numFmtId="0" xfId="0" applyBorder="1" applyFont="1"/>
    <xf borderId="5" fillId="5" fontId="5" numFmtId="1" xfId="0" applyAlignment="1" applyBorder="1" applyFont="1" applyNumberFormat="1">
      <alignment horizontal="center" readingOrder="0" vertical="center"/>
    </xf>
    <xf borderId="10" fillId="5" fontId="3" numFmtId="0" xfId="0" applyAlignment="1" applyBorder="1" applyFont="1">
      <alignment shrinkToFit="0" wrapText="1"/>
    </xf>
    <xf borderId="11" fillId="0" fontId="2" numFmtId="0" xfId="0" applyBorder="1" applyFont="1"/>
    <xf borderId="5" fillId="5" fontId="5" numFmtId="1" xfId="0" applyAlignment="1" applyBorder="1" applyFont="1" applyNumberFormat="1">
      <alignment horizontal="center" vertical="center"/>
    </xf>
    <xf borderId="12" fillId="5" fontId="3" numFmtId="0" xfId="0" applyAlignment="1" applyBorder="1" applyFont="1">
      <alignment shrinkToFit="0" wrapText="1"/>
    </xf>
    <xf borderId="13" fillId="0" fontId="2" numFmtId="0" xfId="0" applyBorder="1" applyFont="1"/>
    <xf borderId="14" fillId="0" fontId="2" numFmtId="0" xfId="0" applyBorder="1" applyFont="1"/>
    <xf borderId="4" fillId="2" fontId="5" numFmtId="0" xfId="0" applyBorder="1" applyFont="1"/>
    <xf borderId="4" fillId="2" fontId="3" numFmtId="0" xfId="0" applyBorder="1" applyFont="1"/>
    <xf borderId="5" fillId="6" fontId="3" numFmtId="164" xfId="0" applyBorder="1" applyFont="1" applyNumberFormat="1"/>
    <xf borderId="5" fillId="3" fontId="3" numFmtId="0" xfId="0" applyBorder="1" applyFont="1"/>
    <xf borderId="5" fillId="3" fontId="3" numFmtId="164" xfId="0" applyBorder="1" applyFont="1" applyNumberFormat="1"/>
    <xf borderId="4" fillId="3" fontId="3" numFmtId="164" xfId="0" applyBorder="1" applyFont="1" applyNumberFormat="1"/>
    <xf borderId="15" fillId="6" fontId="1" numFmtId="0" xfId="0" applyAlignment="1" applyBorder="1" applyFont="1">
      <alignment horizontal="center" vertical="center"/>
    </xf>
    <xf borderId="16" fillId="6" fontId="1" numFmtId="164" xfId="0" applyAlignment="1" applyBorder="1" applyFont="1" applyNumberFormat="1">
      <alignment horizontal="center" vertical="center"/>
    </xf>
    <xf borderId="1" fillId="7" fontId="1" numFmtId="0" xfId="0" applyBorder="1" applyFill="1" applyFont="1"/>
    <xf borderId="4" fillId="7" fontId="5" numFmtId="0" xfId="0" applyBorder="1" applyFont="1"/>
    <xf borderId="4" fillId="7" fontId="3" numFmtId="0" xfId="0" applyBorder="1" applyFont="1"/>
    <xf borderId="5" fillId="5" fontId="5" numFmtId="0" xfId="0" applyAlignment="1" applyBorder="1" applyFont="1">
      <alignment horizontal="center" vertical="center"/>
    </xf>
    <xf borderId="17" fillId="6" fontId="3" numFmtId="0" xfId="0" applyBorder="1" applyFont="1"/>
    <xf borderId="18" fillId="6" fontId="3" numFmtId="0" xfId="0" applyBorder="1" applyFont="1"/>
    <xf borderId="5" fillId="7" fontId="5" numFmtId="0" xfId="0" applyBorder="1" applyFont="1"/>
    <xf borderId="5" fillId="7" fontId="3" numFmtId="0" xfId="0" applyBorder="1" applyFont="1"/>
    <xf borderId="5" fillId="5" fontId="5" numFmtId="165" xfId="0" applyAlignment="1" applyBorder="1" applyFont="1" applyNumberFormat="1">
      <alignment horizontal="center" vertical="center"/>
    </xf>
    <xf borderId="17" fillId="5" fontId="5" numFmtId="0" xfId="0" applyAlignment="1" applyBorder="1" applyFont="1">
      <alignment horizontal="center" vertical="center"/>
    </xf>
    <xf borderId="16" fillId="6" fontId="1" numFmtId="166" xfId="0" applyAlignment="1" applyBorder="1" applyFont="1" applyNumberFormat="1">
      <alignment horizontal="center" vertical="center"/>
    </xf>
    <xf borderId="4" fillId="8" fontId="5" numFmtId="0" xfId="0" applyBorder="1" applyFill="1" applyFont="1"/>
    <xf borderId="0" fillId="0" fontId="3" numFmtId="167" xfId="0" applyFont="1" applyNumberFormat="1"/>
    <xf borderId="5" fillId="6" fontId="3" numFmtId="165" xfId="0" applyBorder="1" applyFont="1" applyNumberFormat="1"/>
    <xf borderId="0" fillId="0" fontId="5" numFmtId="0" xfId="0" applyAlignment="1" applyFont="1">
      <alignment horizontal="center"/>
    </xf>
    <xf borderId="4" fillId="9" fontId="5" numFmtId="0" xfId="0" applyBorder="1" applyFill="1" applyFont="1"/>
    <xf borderId="0" fillId="0" fontId="6" numFmtId="0" xfId="0" applyFont="1"/>
    <xf borderId="0" fillId="0" fontId="6" numFmtId="164" xfId="0" applyFont="1" applyNumberFormat="1"/>
    <xf borderId="0" fillId="0" fontId="7" numFmtId="0" xfId="0" applyFont="1"/>
    <xf borderId="1" fillId="10" fontId="8" numFmtId="0" xfId="0" applyAlignment="1" applyBorder="1" applyFill="1" applyFont="1">
      <alignment horizontal="center"/>
    </xf>
    <xf borderId="0" fillId="0" fontId="3" numFmtId="0" xfId="0" applyAlignment="1" applyFont="1">
      <alignment shrinkToFit="0" wrapText="1"/>
    </xf>
    <xf borderId="5" fillId="10" fontId="3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workbookViewId="0"/>
  </sheetViews>
  <sheetFormatPr customHeight="1" defaultColWidth="14.43" defaultRowHeight="15.0"/>
  <cols>
    <col customWidth="1" min="1" max="1" width="68.0"/>
    <col customWidth="1" min="2" max="2" width="22.0"/>
    <col customWidth="1" min="3" max="3" width="8.71"/>
    <col customWidth="1" min="4" max="4" width="10.43"/>
    <col customWidth="1" min="5" max="7" width="8.71"/>
    <col customWidth="1" min="8" max="8" width="51.29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</row>
    <row r="2">
      <c r="A2" s="5"/>
      <c r="B2" s="5"/>
      <c r="C2" s="5"/>
      <c r="D2" s="6" t="s">
        <v>1</v>
      </c>
      <c r="E2" s="2"/>
      <c r="F2" s="2"/>
      <c r="G2" s="3"/>
      <c r="H2" s="4"/>
      <c r="I2" s="4"/>
    </row>
    <row r="3">
      <c r="A3" s="7" t="s">
        <v>2</v>
      </c>
      <c r="B3" s="8"/>
      <c r="C3" s="4"/>
      <c r="D3" s="9" t="s">
        <v>3</v>
      </c>
      <c r="E3" s="4"/>
      <c r="F3" s="4"/>
      <c r="G3" s="4"/>
      <c r="H3" s="4"/>
      <c r="I3" s="4"/>
    </row>
    <row r="4">
      <c r="A4" s="10" t="s">
        <v>4</v>
      </c>
      <c r="B4" s="11">
        <v>35000.0</v>
      </c>
      <c r="C4" s="4"/>
      <c r="D4" s="12" t="s">
        <v>5</v>
      </c>
      <c r="E4" s="13"/>
      <c r="F4" s="13"/>
      <c r="G4" s="13"/>
      <c r="H4" s="14"/>
      <c r="I4" s="4"/>
    </row>
    <row r="5">
      <c r="A5" s="10" t="s">
        <v>6</v>
      </c>
      <c r="B5" s="15">
        <v>2.0</v>
      </c>
      <c r="C5" s="4"/>
      <c r="D5" s="16" t="s">
        <v>7</v>
      </c>
      <c r="E5" s="2"/>
      <c r="F5" s="2"/>
      <c r="G5" s="2"/>
      <c r="H5" s="17"/>
      <c r="I5" s="4"/>
    </row>
    <row r="6">
      <c r="A6" s="10" t="s">
        <v>8</v>
      </c>
      <c r="B6" s="18">
        <v>0.0</v>
      </c>
      <c r="C6" s="4"/>
      <c r="D6" s="19" t="s">
        <v>9</v>
      </c>
      <c r="E6" s="20"/>
      <c r="F6" s="20"/>
      <c r="G6" s="20"/>
      <c r="H6" s="21"/>
      <c r="I6" s="4"/>
    </row>
    <row r="7">
      <c r="A7" s="10" t="s">
        <v>10</v>
      </c>
      <c r="B7" s="18">
        <v>0.0</v>
      </c>
      <c r="C7" s="4"/>
      <c r="D7" s="4"/>
      <c r="E7" s="4"/>
      <c r="F7" s="4"/>
      <c r="G7" s="4"/>
      <c r="H7" s="4"/>
      <c r="I7" s="4"/>
    </row>
    <row r="8">
      <c r="A8" s="10" t="s">
        <v>11</v>
      </c>
      <c r="B8" s="18">
        <v>0.0</v>
      </c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22" t="s">
        <v>12</v>
      </c>
      <c r="B10" s="23"/>
      <c r="C10" s="4"/>
      <c r="D10" s="4"/>
      <c r="E10" s="4"/>
      <c r="F10" s="4"/>
      <c r="G10" s="4"/>
      <c r="H10" s="4"/>
      <c r="I10" s="4"/>
    </row>
    <row r="11">
      <c r="A11" s="23"/>
      <c r="B11" s="23"/>
      <c r="C11" s="4"/>
      <c r="D11" s="4"/>
      <c r="E11" s="4"/>
      <c r="F11" s="4"/>
      <c r="G11" s="4"/>
      <c r="H11" s="4"/>
      <c r="I11" s="4"/>
    </row>
    <row r="12">
      <c r="A12" s="10" t="s">
        <v>13</v>
      </c>
      <c r="B12" s="24">
        <f>ZivotniMinimum+NormativniNajemne+EnergetickyPausal</f>
        <v>16590</v>
      </c>
      <c r="C12" s="4"/>
      <c r="D12" s="4"/>
      <c r="E12" s="4"/>
      <c r="F12" s="4"/>
      <c r="G12" s="4"/>
      <c r="H12" s="4">
        <v>0.0</v>
      </c>
      <c r="I12" s="4"/>
    </row>
    <row r="13">
      <c r="A13" s="10" t="s">
        <v>14</v>
      </c>
      <c r="B13" s="24">
        <f>0.85*B12</f>
        <v>14101.5</v>
      </c>
      <c r="C13" s="4"/>
      <c r="D13" s="4"/>
      <c r="E13" s="4"/>
      <c r="F13" s="4"/>
      <c r="G13" s="4"/>
      <c r="H13" s="4"/>
      <c r="I13" s="4"/>
    </row>
    <row r="14">
      <c r="A14" s="10" t="s">
        <v>15</v>
      </c>
      <c r="B14" s="24">
        <f>B5+B6+B7</f>
        <v>2</v>
      </c>
      <c r="C14" s="4"/>
      <c r="D14" s="4"/>
      <c r="E14" s="4"/>
      <c r="F14" s="4"/>
      <c r="G14" s="4"/>
      <c r="H14" s="4"/>
      <c r="I14" s="4"/>
    </row>
    <row r="15">
      <c r="A15" s="10" t="s">
        <v>16</v>
      </c>
      <c r="B15" s="24">
        <f>0.25*B13*B14</f>
        <v>7050.75</v>
      </c>
      <c r="C15" s="4"/>
      <c r="D15" s="4"/>
      <c r="E15" s="4"/>
      <c r="F15" s="4"/>
      <c r="G15" s="4"/>
      <c r="H15" s="4"/>
      <c r="I15" s="4"/>
    </row>
    <row r="16">
      <c r="A16" s="10" t="s">
        <v>17</v>
      </c>
      <c r="B16" s="24">
        <f>B13+B15</f>
        <v>21152.25</v>
      </c>
      <c r="C16" s="4"/>
      <c r="D16" s="4"/>
      <c r="E16" s="4"/>
      <c r="F16" s="4"/>
      <c r="G16" s="4"/>
      <c r="H16" s="4"/>
      <c r="I16" s="4"/>
    </row>
    <row r="17">
      <c r="A17" s="10" t="s">
        <v>18</v>
      </c>
      <c r="B17" s="24">
        <f>MAX(0,B4-B16)-Insolvence!B31</f>
        <v>13847.75</v>
      </c>
      <c r="C17" s="4"/>
      <c r="D17" s="4"/>
      <c r="E17" s="4"/>
      <c r="F17" s="4"/>
      <c r="G17" s="4"/>
      <c r="H17" s="4"/>
      <c r="I17" s="4"/>
    </row>
    <row r="18">
      <c r="A18" s="10" t="s">
        <v>19</v>
      </c>
      <c r="B18" s="24">
        <f>1.9*B12</f>
        <v>31521</v>
      </c>
      <c r="C18" s="4"/>
      <c r="D18" s="4"/>
      <c r="E18" s="4"/>
      <c r="F18" s="4"/>
      <c r="G18" s="4"/>
      <c r="H18" s="4"/>
      <c r="I18" s="4"/>
    </row>
    <row r="19">
      <c r="A19" s="10" t="s">
        <v>20</v>
      </c>
      <c r="B19" s="24">
        <f>MAX(0,B17-B18)</f>
        <v>0</v>
      </c>
      <c r="C19" s="4"/>
      <c r="D19" s="4"/>
      <c r="E19" s="4"/>
      <c r="F19" s="4"/>
      <c r="G19" s="4"/>
      <c r="H19" s="4"/>
      <c r="I19" s="4"/>
    </row>
    <row r="20">
      <c r="A20" s="10" t="s">
        <v>21</v>
      </c>
      <c r="B20" s="24">
        <f>B17-B19</f>
        <v>13847.75</v>
      </c>
      <c r="C20" s="4"/>
      <c r="D20" s="4"/>
      <c r="E20" s="4"/>
      <c r="F20" s="4"/>
      <c r="G20" s="4"/>
      <c r="H20" s="4"/>
      <c r="I20" s="4"/>
    </row>
    <row r="21" ht="15.75" customHeight="1">
      <c r="A21" s="10" t="s">
        <v>22</v>
      </c>
      <c r="B21" s="24">
        <f>INT(B20/3)</f>
        <v>4615</v>
      </c>
      <c r="C21" s="4"/>
      <c r="D21" s="4"/>
      <c r="E21" s="4"/>
      <c r="F21" s="4"/>
      <c r="G21" s="4"/>
      <c r="H21" s="4"/>
      <c r="I21" s="4"/>
    </row>
    <row r="22" ht="15.75" customHeight="1">
      <c r="A22" s="25"/>
      <c r="B22" s="26"/>
      <c r="C22" s="4"/>
      <c r="D22" s="4"/>
      <c r="E22" s="4"/>
      <c r="F22" s="4"/>
      <c r="G22" s="4"/>
      <c r="H22" s="4"/>
      <c r="I22" s="4"/>
    </row>
    <row r="23" ht="15.75" customHeight="1">
      <c r="A23" s="10" t="s">
        <v>23</v>
      </c>
      <c r="B23" s="24">
        <f>B21+B19</f>
        <v>4615</v>
      </c>
      <c r="C23" s="4"/>
      <c r="D23" s="4"/>
      <c r="E23" s="4"/>
      <c r="F23" s="4"/>
      <c r="G23" s="4"/>
      <c r="H23" s="4"/>
      <c r="I23" s="4"/>
    </row>
    <row r="24" ht="15.75" customHeight="1">
      <c r="A24" s="10" t="s">
        <v>24</v>
      </c>
      <c r="B24" s="24">
        <f>2*B21+B19</f>
        <v>9230</v>
      </c>
      <c r="C24" s="4"/>
      <c r="D24" s="4"/>
      <c r="E24" s="4"/>
      <c r="F24" s="4"/>
      <c r="G24" s="4"/>
      <c r="H24" s="4"/>
      <c r="I24" s="4"/>
    </row>
    <row r="25" ht="15.75" customHeight="1">
      <c r="A25" s="4"/>
      <c r="B25" s="27"/>
      <c r="C25" s="4"/>
      <c r="D25" s="4"/>
      <c r="E25" s="4"/>
      <c r="F25" s="4"/>
      <c r="G25" s="4"/>
      <c r="H25" s="4"/>
      <c r="I25" s="4"/>
    </row>
    <row r="26" ht="15.75" customHeight="1">
      <c r="A26" s="10" t="s">
        <v>25</v>
      </c>
      <c r="B26" s="24">
        <f>B4-B23</f>
        <v>30385</v>
      </c>
      <c r="C26" s="4"/>
      <c r="D26" s="4"/>
      <c r="E26" s="4"/>
      <c r="F26" s="4"/>
      <c r="G26" s="4"/>
      <c r="H26" s="4"/>
      <c r="I26" s="4"/>
    </row>
    <row r="27" ht="15.75" customHeight="1">
      <c r="A27" s="10" t="s">
        <v>26</v>
      </c>
      <c r="B27" s="24">
        <f>B4-B24</f>
        <v>25770</v>
      </c>
      <c r="C27" s="4"/>
      <c r="D27" s="4"/>
      <c r="E27" s="4"/>
      <c r="F27" s="4"/>
      <c r="G27" s="4"/>
      <c r="H27" s="4"/>
      <c r="I27" s="4"/>
    </row>
    <row r="28" ht="15.75" customHeight="1">
      <c r="A28" s="4"/>
      <c r="B28" s="27"/>
      <c r="C28" s="4"/>
      <c r="D28" s="4"/>
      <c r="E28" s="4"/>
      <c r="F28" s="4"/>
      <c r="G28" s="4"/>
      <c r="H28" s="4"/>
      <c r="I28" s="4"/>
    </row>
    <row r="29" ht="15.75" customHeight="1">
      <c r="A29" s="10" t="s">
        <v>27</v>
      </c>
      <c r="B29" s="24">
        <f>IF(B8=1,B24,B23)</f>
        <v>4615</v>
      </c>
      <c r="C29" s="4"/>
      <c r="D29" s="4"/>
      <c r="E29" s="4"/>
      <c r="F29" s="4"/>
      <c r="G29" s="4"/>
      <c r="H29" s="4"/>
      <c r="I29" s="4"/>
    </row>
    <row r="30" ht="15.75" customHeight="1">
      <c r="A30" s="28" t="s">
        <v>28</v>
      </c>
      <c r="B30" s="29">
        <f>B4-B29</f>
        <v>30385</v>
      </c>
      <c r="C30" s="4"/>
      <c r="D30" s="4"/>
      <c r="E30" s="4"/>
      <c r="F30" s="4"/>
      <c r="G30" s="4"/>
      <c r="H30" s="4"/>
      <c r="I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D2:G2"/>
    <mergeCell ref="D4:H4"/>
    <mergeCell ref="D5:H5"/>
    <mergeCell ref="D6:H6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59.14"/>
    <col customWidth="1" min="2" max="2" width="13.57"/>
    <col customWidth="1" min="3" max="12" width="8.71"/>
    <col customWidth="1" min="13" max="13" width="9.43"/>
    <col customWidth="1" min="14" max="26" width="8.71"/>
  </cols>
  <sheetData>
    <row r="1">
      <c r="A1" s="30" t="s">
        <v>29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/>
      <c r="B2" s="5"/>
      <c r="C2" s="5"/>
      <c r="D2" s="5"/>
      <c r="E2" s="5"/>
      <c r="F2" s="5"/>
      <c r="G2" s="4"/>
      <c r="H2" s="4"/>
      <c r="I2" s="4"/>
      <c r="J2" s="4"/>
      <c r="K2" s="4"/>
    </row>
    <row r="3">
      <c r="A3" s="31" t="s">
        <v>30</v>
      </c>
      <c r="B3" s="32"/>
      <c r="C3" s="4"/>
      <c r="D3" s="4"/>
      <c r="E3" s="4"/>
      <c r="F3" s="4"/>
      <c r="G3" s="4"/>
      <c r="H3" s="4"/>
      <c r="I3" s="4"/>
      <c r="J3" s="4"/>
      <c r="K3" s="4"/>
    </row>
    <row r="4">
      <c r="A4" s="32"/>
      <c r="B4" s="32"/>
      <c r="C4" s="4"/>
      <c r="D4" s="4"/>
      <c r="E4" s="4"/>
      <c r="F4" s="4"/>
      <c r="G4" s="4"/>
      <c r="H4" s="4"/>
      <c r="I4" s="4"/>
      <c r="J4" s="4"/>
      <c r="K4" s="4"/>
    </row>
    <row r="5">
      <c r="A5" s="10" t="s">
        <v>31</v>
      </c>
      <c r="B5" s="33">
        <v>0.0</v>
      </c>
      <c r="C5" s="4"/>
      <c r="D5" s="4"/>
      <c r="E5" s="4"/>
      <c r="F5" s="4"/>
      <c r="G5" s="4"/>
      <c r="H5" s="4"/>
      <c r="I5" s="4"/>
      <c r="J5" s="4"/>
      <c r="K5" s="4"/>
    </row>
    <row r="6">
      <c r="A6" s="10" t="s">
        <v>32</v>
      </c>
      <c r="B6" s="10">
        <v>1089.0</v>
      </c>
      <c r="C6" s="4"/>
      <c r="D6" s="4"/>
      <c r="E6" s="4"/>
      <c r="F6" s="4"/>
      <c r="G6" s="4"/>
      <c r="H6" s="4"/>
      <c r="I6" s="4"/>
      <c r="J6" s="4"/>
      <c r="K6" s="4"/>
    </row>
    <row r="7">
      <c r="A7" s="10" t="s">
        <v>33</v>
      </c>
      <c r="B7" s="10">
        <v>1633.5</v>
      </c>
      <c r="C7" s="4"/>
      <c r="D7" s="4"/>
      <c r="E7" s="4"/>
      <c r="F7" s="4"/>
      <c r="G7" s="4"/>
      <c r="H7" s="4"/>
      <c r="I7" s="4"/>
      <c r="J7" s="4"/>
      <c r="K7" s="4"/>
    </row>
    <row r="8" hidden="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idden="1">
      <c r="A9" s="31" t="s">
        <v>34</v>
      </c>
      <c r="B9" s="32"/>
      <c r="C9" s="4"/>
      <c r="D9" s="4"/>
      <c r="E9" s="4"/>
      <c r="F9" s="4"/>
      <c r="G9" s="4"/>
      <c r="H9" s="4"/>
      <c r="I9" s="4"/>
      <c r="J9" s="4"/>
      <c r="K9" s="4"/>
    </row>
    <row r="10" hidden="1">
      <c r="A10" s="32"/>
      <c r="B10" s="32"/>
      <c r="C10" s="4"/>
      <c r="D10" s="4"/>
      <c r="E10" s="4"/>
      <c r="F10" s="4"/>
      <c r="G10" s="4"/>
      <c r="H10" s="4"/>
      <c r="I10" s="4"/>
      <c r="J10" s="4"/>
      <c r="K10" s="4"/>
    </row>
    <row r="11" hidden="1">
      <c r="A11" s="10" t="s">
        <v>35</v>
      </c>
      <c r="B11" s="24">
        <f>'Nezabavitelná částka'!B16</f>
        <v>21152.25</v>
      </c>
      <c r="C11" s="4"/>
      <c r="D11" s="4"/>
      <c r="E11" s="4"/>
      <c r="F11" s="4"/>
      <c r="G11" s="4"/>
      <c r="H11" s="4"/>
      <c r="I11" s="4"/>
      <c r="J11" s="4"/>
      <c r="K11" s="4"/>
    </row>
    <row r="12" hidden="1">
      <c r="A12" s="10" t="s">
        <v>36</v>
      </c>
      <c r="B12" s="24">
        <f>'Nezabavitelná částka'!B17</f>
        <v>13847.75</v>
      </c>
      <c r="C12" s="4"/>
      <c r="D12" s="4"/>
      <c r="E12" s="4"/>
      <c r="F12" s="4"/>
      <c r="G12" s="4"/>
      <c r="H12" s="4"/>
      <c r="I12" s="4"/>
      <c r="J12" s="4"/>
      <c r="K12" s="4"/>
    </row>
    <row r="13" hidden="1">
      <c r="A13" s="10" t="s">
        <v>37</v>
      </c>
      <c r="B13" s="24">
        <f>'Nezabavitelná částka'!B19</f>
        <v>0</v>
      </c>
      <c r="C13" s="4"/>
      <c r="D13" s="4"/>
      <c r="E13" s="4"/>
      <c r="F13" s="4"/>
      <c r="G13" s="4"/>
      <c r="H13" s="4"/>
      <c r="I13" s="4"/>
      <c r="J13" s="4"/>
      <c r="K13" s="4"/>
    </row>
    <row r="14" hidden="1">
      <c r="A14" s="10" t="s">
        <v>38</v>
      </c>
      <c r="B14" s="24">
        <f>'Nezabavitelná částka'!B21</f>
        <v>4615</v>
      </c>
      <c r="C14" s="4"/>
      <c r="D14" s="4"/>
      <c r="E14" s="4"/>
      <c r="F14" s="4"/>
      <c r="G14" s="4"/>
      <c r="H14" s="4"/>
      <c r="I14" s="4"/>
      <c r="J14" s="4"/>
      <c r="K14" s="4"/>
    </row>
    <row r="15" hidden="1">
      <c r="A15" s="10" t="s">
        <v>39</v>
      </c>
      <c r="B15" s="24">
        <f>'Nezabavitelná částka'!B24</f>
        <v>9230</v>
      </c>
      <c r="C15" s="4"/>
      <c r="D15" s="4"/>
      <c r="E15" s="4"/>
      <c r="F15" s="4"/>
      <c r="G15" s="4"/>
      <c r="H15" s="4"/>
      <c r="I15" s="4"/>
      <c r="J15" s="4"/>
      <c r="K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>
      <c r="A17" s="31" t="s">
        <v>40</v>
      </c>
      <c r="B17" s="32"/>
      <c r="C17" s="4"/>
      <c r="D17" s="4"/>
      <c r="E17" s="4"/>
      <c r="F17" s="4"/>
      <c r="G17" s="4"/>
      <c r="H17" s="4"/>
      <c r="I17" s="4"/>
      <c r="J17" s="4"/>
      <c r="K17" s="4"/>
    </row>
    <row r="18">
      <c r="A18" s="32"/>
      <c r="B18" s="32"/>
      <c r="C18" s="4"/>
      <c r="D18" s="4"/>
      <c r="E18" s="4"/>
      <c r="F18" s="4"/>
      <c r="G18" s="4"/>
      <c r="H18" s="4"/>
      <c r="I18" s="4"/>
      <c r="J18" s="4"/>
      <c r="K18" s="4"/>
    </row>
    <row r="19">
      <c r="A19" s="34" t="s">
        <v>41</v>
      </c>
      <c r="B19" s="34">
        <f>IF(B5=1,B7,B6)</f>
        <v>1089</v>
      </c>
      <c r="C19" s="4"/>
      <c r="D19" s="4"/>
      <c r="E19" s="4"/>
      <c r="F19" s="4"/>
      <c r="G19" s="4"/>
      <c r="H19" s="4"/>
      <c r="I19" s="4"/>
      <c r="J19" s="4"/>
      <c r="K19" s="4"/>
    </row>
    <row r="20" ht="28.5" customHeight="1">
      <c r="A20" s="28" t="s">
        <v>42</v>
      </c>
      <c r="B20" s="29">
        <f>B15</f>
        <v>9230</v>
      </c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5" t="s">
        <v>43</v>
      </c>
      <c r="B21" s="35">
        <f>MAX(0,B20-B19)</f>
        <v>8141</v>
      </c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36" t="s">
        <v>44</v>
      </c>
      <c r="B23" s="32"/>
      <c r="C23" s="4"/>
      <c r="D23" s="4"/>
      <c r="E23" s="4"/>
      <c r="F23" s="4"/>
      <c r="G23" s="4"/>
      <c r="H23" s="4"/>
      <c r="I23" s="4"/>
      <c r="J23" s="4"/>
      <c r="K23" s="4"/>
    </row>
    <row r="24" ht="15.75" customHeight="1">
      <c r="A24" s="37"/>
      <c r="B24" s="32"/>
      <c r="C24" s="4"/>
      <c r="D24" s="4"/>
      <c r="E24" s="4"/>
      <c r="F24" s="4"/>
      <c r="G24" s="4"/>
      <c r="H24" s="4"/>
      <c r="I24" s="4"/>
      <c r="J24" s="4"/>
      <c r="K24" s="4"/>
    </row>
    <row r="25" ht="15.75" customHeight="1">
      <c r="A25" s="10" t="s">
        <v>45</v>
      </c>
      <c r="B25" s="38">
        <v>1.0</v>
      </c>
      <c r="C25" s="4"/>
      <c r="D25" s="4"/>
      <c r="E25" s="4"/>
      <c r="F25" s="4"/>
      <c r="G25" s="4"/>
      <c r="H25" s="4"/>
      <c r="I25" s="4"/>
      <c r="J25" s="4"/>
      <c r="K25" s="4"/>
    </row>
    <row r="26" ht="15.75" customHeight="1">
      <c r="A26" s="34" t="s">
        <v>46</v>
      </c>
      <c r="B26" s="39">
        <v>36.0</v>
      </c>
      <c r="C26" s="4"/>
      <c r="D26" s="4"/>
      <c r="E26" s="4"/>
      <c r="F26" s="4"/>
      <c r="G26" s="4"/>
      <c r="H26" s="4"/>
      <c r="I26" s="4"/>
      <c r="J26" s="4"/>
      <c r="K26" s="4"/>
    </row>
    <row r="27" ht="29.25" customHeight="1">
      <c r="A27" s="28" t="s">
        <v>47</v>
      </c>
      <c r="B27" s="40">
        <f>IF(B25&gt;0,MIN(100,(B35*B26)/B25*100),"")/100</f>
        <v>1</v>
      </c>
      <c r="C27" s="4"/>
      <c r="D27" s="4"/>
      <c r="E27" s="4"/>
      <c r="F27" s="4"/>
      <c r="G27" s="4"/>
      <c r="H27" s="4"/>
      <c r="I27" s="4"/>
      <c r="J27" s="4"/>
      <c r="K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75" customHeight="1">
      <c r="A29" s="37" t="s">
        <v>48</v>
      </c>
      <c r="B29" s="37"/>
      <c r="C29" s="4"/>
      <c r="D29" s="4"/>
      <c r="E29" s="4"/>
      <c r="F29" s="4"/>
      <c r="G29" s="4"/>
      <c r="H29" s="4"/>
      <c r="I29" s="4"/>
      <c r="J29" s="4"/>
      <c r="K29" s="4"/>
    </row>
    <row r="30" ht="15.75" hidden="1" customHeight="1">
      <c r="A30" s="41"/>
      <c r="B30" s="41"/>
      <c r="C30" s="4"/>
      <c r="D30" s="4"/>
      <c r="E30" s="4"/>
      <c r="F30" s="4"/>
      <c r="G30" s="4"/>
      <c r="H30" s="4"/>
      <c r="I30" s="4"/>
      <c r="J30" s="4"/>
      <c r="K30" s="4"/>
    </row>
    <row r="31" ht="15.75" customHeight="1">
      <c r="A31" s="10" t="s">
        <v>49</v>
      </c>
      <c r="B31" s="38">
        <v>0.0</v>
      </c>
      <c r="C31" s="4"/>
      <c r="D31" s="4"/>
      <c r="E31" s="4"/>
      <c r="F31" s="4"/>
      <c r="G31" s="4"/>
      <c r="H31" s="4"/>
      <c r="I31" s="4"/>
      <c r="J31" s="4"/>
      <c r="K31" s="4"/>
    </row>
    <row r="32" ht="15.75" hidden="1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>
      <c r="A33" s="10" t="s">
        <v>50</v>
      </c>
      <c r="B33" s="10">
        <f>B21</f>
        <v>8141</v>
      </c>
      <c r="C33" s="4"/>
      <c r="D33" s="4"/>
      <c r="E33" s="4"/>
      <c r="F33" s="4"/>
      <c r="G33" s="4"/>
      <c r="H33" s="4"/>
      <c r="I33" s="4"/>
      <c r="J33" s="4"/>
      <c r="K33" s="4"/>
      <c r="M33" s="42"/>
    </row>
    <row r="34" ht="15.75" customHeight="1">
      <c r="A34" s="10" t="s">
        <v>51</v>
      </c>
      <c r="B34" s="43">
        <f>MIN(B31,B33)</f>
        <v>0</v>
      </c>
      <c r="C34" s="4"/>
      <c r="D34" s="4"/>
      <c r="E34" s="4"/>
      <c r="F34" s="4"/>
      <c r="G34" s="4"/>
      <c r="H34" s="4"/>
      <c r="I34" s="4"/>
      <c r="J34" s="4"/>
      <c r="K34" s="4"/>
    </row>
    <row r="35" ht="15.75" customHeight="1">
      <c r="A35" s="10" t="s">
        <v>52</v>
      </c>
      <c r="B35" s="10">
        <f>MAX(0,B33-B34)</f>
        <v>8141</v>
      </c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10.0"/>
    <col customWidth="1" min="3" max="3" width="32.86"/>
    <col customWidth="1" min="4" max="4" width="10.0"/>
    <col customWidth="1" min="5" max="5" width="50.0"/>
    <col customWidth="1" min="6" max="26" width="8.71"/>
  </cols>
  <sheetData>
    <row r="1">
      <c r="A1" s="44" t="s">
        <v>53</v>
      </c>
    </row>
    <row r="2">
      <c r="A2" s="45" t="s">
        <v>54</v>
      </c>
      <c r="B2" s="45" t="s">
        <v>55</v>
      </c>
      <c r="C2" s="45" t="s">
        <v>56</v>
      </c>
      <c r="D2" s="45" t="s">
        <v>57</v>
      </c>
      <c r="E2" s="45" t="s">
        <v>58</v>
      </c>
    </row>
    <row r="3">
      <c r="A3" s="46" t="s">
        <v>59</v>
      </c>
      <c r="B3" s="46" t="s">
        <v>60</v>
      </c>
      <c r="C3" s="46">
        <f>ZivotniMinimum+NormativniNajemne+EnergetickyPausal</f>
        <v>16590</v>
      </c>
      <c r="D3" s="46" t="s">
        <v>61</v>
      </c>
    </row>
    <row r="4">
      <c r="A4" s="46" t="s">
        <v>59</v>
      </c>
      <c r="B4" s="46" t="s">
        <v>62</v>
      </c>
      <c r="C4" s="46" t="str">
        <f>0.85*B12</f>
        <v>#VALUE!</v>
      </c>
      <c r="D4" s="46" t="s">
        <v>61</v>
      </c>
    </row>
    <row r="5">
      <c r="A5" s="46" t="s">
        <v>59</v>
      </c>
      <c r="B5" s="46" t="s">
        <v>63</v>
      </c>
      <c r="C5" s="46" t="str">
        <f>B5+B6+B7</f>
        <v>#VALUE!</v>
      </c>
      <c r="D5" s="46" t="s">
        <v>61</v>
      </c>
    </row>
    <row r="6">
      <c r="A6" s="46" t="s">
        <v>59</v>
      </c>
      <c r="B6" s="46" t="s">
        <v>64</v>
      </c>
      <c r="C6" s="46" t="str">
        <f>0.25*B13*B14</f>
        <v>#VALUE!</v>
      </c>
      <c r="D6" s="46" t="s">
        <v>61</v>
      </c>
    </row>
    <row r="7">
      <c r="A7" s="46" t="s">
        <v>59</v>
      </c>
      <c r="B7" s="46" t="s">
        <v>65</v>
      </c>
      <c r="C7" s="46" t="str">
        <f>B13+B15</f>
        <v>#VALUE!</v>
      </c>
      <c r="D7" s="46" t="s">
        <v>61</v>
      </c>
    </row>
    <row r="8">
      <c r="A8" s="46" t="s">
        <v>59</v>
      </c>
      <c r="B8" s="46" t="s">
        <v>66</v>
      </c>
      <c r="C8" s="46" t="str">
        <f>MAX(0,B4-B16)</f>
        <v>#VALUE!</v>
      </c>
      <c r="D8" s="46" t="s">
        <v>61</v>
      </c>
    </row>
    <row r="9">
      <c r="A9" s="46" t="s">
        <v>59</v>
      </c>
      <c r="B9" s="46" t="s">
        <v>67</v>
      </c>
      <c r="C9" s="46" t="str">
        <f>1.9*B12</f>
        <v>#VALUE!</v>
      </c>
      <c r="D9" s="46" t="s">
        <v>61</v>
      </c>
    </row>
    <row r="10">
      <c r="A10" s="46" t="s">
        <v>59</v>
      </c>
      <c r="B10" s="46" t="s">
        <v>68</v>
      </c>
      <c r="C10" s="46" t="str">
        <f>MAX(0,B17-B18)</f>
        <v>#VALUE!</v>
      </c>
      <c r="D10" s="46" t="s">
        <v>61</v>
      </c>
    </row>
    <row r="11">
      <c r="A11" s="46" t="s">
        <v>59</v>
      </c>
      <c r="B11" s="46" t="s">
        <v>69</v>
      </c>
      <c r="C11" s="46" t="str">
        <f>B17-B19</f>
        <v>#VALUE!</v>
      </c>
      <c r="D11" s="46" t="s">
        <v>61</v>
      </c>
    </row>
    <row r="12">
      <c r="A12" s="46" t="s">
        <v>59</v>
      </c>
      <c r="B12" s="46" t="s">
        <v>70</v>
      </c>
      <c r="C12" s="46" t="str">
        <f>INT(B20/3)</f>
        <v>#VALUE!</v>
      </c>
      <c r="D12" s="46" t="s">
        <v>61</v>
      </c>
    </row>
    <row r="13">
      <c r="A13" s="46" t="s">
        <v>59</v>
      </c>
      <c r="B13" s="46" t="s">
        <v>71</v>
      </c>
      <c r="C13" s="46" t="str">
        <f>B21+B19</f>
        <v>#VALUE!</v>
      </c>
      <c r="D13" s="46" t="s">
        <v>61</v>
      </c>
    </row>
    <row r="14">
      <c r="A14" s="46" t="s">
        <v>59</v>
      </c>
      <c r="B14" s="46" t="s">
        <v>72</v>
      </c>
      <c r="C14" s="46" t="str">
        <f>2*B21+B19</f>
        <v>#VALUE!</v>
      </c>
      <c r="D14" s="46" t="s">
        <v>61</v>
      </c>
    </row>
    <row r="15">
      <c r="A15" s="46" t="s">
        <v>59</v>
      </c>
      <c r="B15" s="46" t="s">
        <v>73</v>
      </c>
      <c r="C15" s="46" t="str">
        <f>B4-B23</f>
        <v>#VALUE!</v>
      </c>
      <c r="D15" s="46" t="s">
        <v>61</v>
      </c>
    </row>
    <row r="16">
      <c r="A16" s="46" t="s">
        <v>59</v>
      </c>
      <c r="B16" s="46" t="s">
        <v>74</v>
      </c>
      <c r="C16" s="46" t="str">
        <f>B4-B24</f>
        <v>#VALUE!</v>
      </c>
      <c r="D16" s="46" t="s">
        <v>61</v>
      </c>
    </row>
    <row r="17">
      <c r="A17" s="46" t="s">
        <v>59</v>
      </c>
      <c r="B17" s="46" t="s">
        <v>75</v>
      </c>
      <c r="C17" s="46" t="str">
        <f>IF(B8=1,B24,B23)</f>
        <v>B15</v>
      </c>
      <c r="D17" s="46" t="s">
        <v>61</v>
      </c>
    </row>
    <row r="18">
      <c r="A18" s="46" t="s">
        <v>59</v>
      </c>
      <c r="B18" s="46" t="s">
        <v>76</v>
      </c>
      <c r="C18" s="46" t="str">
        <f>B4-B29</f>
        <v>#VALUE!</v>
      </c>
      <c r="D18" s="46" t="s">
        <v>61</v>
      </c>
    </row>
    <row r="19">
      <c r="A19" s="46" t="s">
        <v>77</v>
      </c>
      <c r="B19" s="46" t="s">
        <v>78</v>
      </c>
      <c r="C19" s="47">
        <f>'Nezabavitelná částka'!B16</f>
        <v>21152.25</v>
      </c>
      <c r="D19" s="46" t="s">
        <v>61</v>
      </c>
    </row>
    <row r="20">
      <c r="A20" s="46" t="s">
        <v>77</v>
      </c>
      <c r="B20" s="46" t="s">
        <v>60</v>
      </c>
      <c r="C20" s="47">
        <f>'Nezabavitelná částka'!B17</f>
        <v>13847.75</v>
      </c>
      <c r="D20" s="46" t="s">
        <v>61</v>
      </c>
    </row>
    <row r="21" ht="15.75" customHeight="1">
      <c r="A21" s="46" t="s">
        <v>77</v>
      </c>
      <c r="B21" s="46" t="s">
        <v>62</v>
      </c>
      <c r="C21" s="47">
        <f>'Nezabavitelná částka'!B19</f>
        <v>0</v>
      </c>
      <c r="D21" s="46" t="s">
        <v>61</v>
      </c>
    </row>
    <row r="22" ht="15.75" customHeight="1">
      <c r="A22" s="46" t="s">
        <v>77</v>
      </c>
      <c r="B22" s="46" t="s">
        <v>63</v>
      </c>
      <c r="C22" s="47">
        <f>'Nezabavitelná částka'!B21</f>
        <v>4615</v>
      </c>
      <c r="D22" s="46" t="s">
        <v>61</v>
      </c>
    </row>
    <row r="23" ht="15.75" customHeight="1">
      <c r="A23" s="46" t="s">
        <v>77</v>
      </c>
      <c r="B23" s="46" t="s">
        <v>64</v>
      </c>
      <c r="C23" s="47">
        <f>'Nezabavitelná částka'!B24</f>
        <v>9230</v>
      </c>
      <c r="D23" s="46" t="s">
        <v>61</v>
      </c>
    </row>
    <row r="24" ht="15.75" customHeight="1">
      <c r="A24" s="46" t="s">
        <v>77</v>
      </c>
      <c r="B24" s="46" t="s">
        <v>68</v>
      </c>
      <c r="C24" s="46" t="str">
        <f>IF(B5=1,B7,B6)</f>
        <v>B15</v>
      </c>
      <c r="D24" s="46" t="s">
        <v>61</v>
      </c>
    </row>
    <row r="25" ht="15.75" customHeight="1">
      <c r="A25" s="46" t="s">
        <v>77</v>
      </c>
      <c r="B25" s="46" t="s">
        <v>69</v>
      </c>
      <c r="C25" s="46" t="str">
        <f>B15</f>
        <v>B26</v>
      </c>
      <c r="D25" s="46" t="s">
        <v>61</v>
      </c>
    </row>
    <row r="26" ht="15.75" customHeight="1">
      <c r="A26" s="46" t="s">
        <v>77</v>
      </c>
      <c r="B26" s="46" t="s">
        <v>70</v>
      </c>
      <c r="C26" s="46" t="str">
        <f>MAX(0,B20-B19)</f>
        <v>#VALUE!</v>
      </c>
      <c r="D26" s="46" t="s">
        <v>61</v>
      </c>
    </row>
    <row r="27" ht="15.75" customHeight="1">
      <c r="A27" s="46" t="s">
        <v>77</v>
      </c>
      <c r="B27" s="46" t="s">
        <v>74</v>
      </c>
      <c r="C27" s="46" t="str">
        <f>IF(B25&gt;0,MIN(100,(B48*B26)/B25*100),"")</f>
        <v>#VALUE!</v>
      </c>
      <c r="D27" s="46" t="s">
        <v>61</v>
      </c>
    </row>
    <row r="28" ht="15.75" customHeight="1">
      <c r="A28" s="46" t="s">
        <v>77</v>
      </c>
      <c r="B28" s="46" t="s">
        <v>79</v>
      </c>
      <c r="C28" s="46" t="str">
        <f>B21</f>
        <v>B13</v>
      </c>
      <c r="D28" s="46" t="s">
        <v>61</v>
      </c>
    </row>
    <row r="29" ht="15.75" customHeight="1">
      <c r="A29" s="46" t="s">
        <v>77</v>
      </c>
      <c r="B29" s="46" t="s">
        <v>80</v>
      </c>
      <c r="C29" s="46">
        <f>MIN(B31,B37)</f>
        <v>0</v>
      </c>
      <c r="D29" s="46" t="s">
        <v>61</v>
      </c>
    </row>
    <row r="30" ht="15.75" customHeight="1">
      <c r="A30" s="46" t="s">
        <v>77</v>
      </c>
      <c r="B30" s="46" t="s">
        <v>81</v>
      </c>
      <c r="C30" s="46" t="str">
        <f>MAX(0,B37-B38)</f>
        <v>#VALUE!</v>
      </c>
      <c r="D30" s="46" t="s">
        <v>61</v>
      </c>
    </row>
    <row r="31" ht="15.75" customHeight="1">
      <c r="A31" s="46" t="s">
        <v>77</v>
      </c>
      <c r="B31" s="46" t="s">
        <v>82</v>
      </c>
      <c r="C31" s="46">
        <f>MIN(B32,B39)</f>
        <v>0</v>
      </c>
      <c r="D31" s="46" t="s">
        <v>61</v>
      </c>
    </row>
    <row r="32" ht="15.75" customHeight="1">
      <c r="A32" s="46" t="s">
        <v>77</v>
      </c>
      <c r="B32" s="46" t="s">
        <v>83</v>
      </c>
      <c r="C32" s="46" t="str">
        <f>MAX(0,B39-B40)</f>
        <v>#VALUE!</v>
      </c>
      <c r="D32" s="46" t="s">
        <v>61</v>
      </c>
    </row>
    <row r="33" ht="15.75" customHeight="1">
      <c r="A33" s="46" t="s">
        <v>77</v>
      </c>
      <c r="B33" s="46" t="s">
        <v>84</v>
      </c>
      <c r="C33" s="46">
        <f>MIN(B33,B41)</f>
        <v>0</v>
      </c>
      <c r="D33" s="46" t="s">
        <v>61</v>
      </c>
    </row>
    <row r="34" ht="15.75" customHeight="1">
      <c r="A34" s="46" t="s">
        <v>77</v>
      </c>
      <c r="B34" s="46" t="s">
        <v>85</v>
      </c>
      <c r="C34" s="46">
        <f>MAX(0,B41-B42)</f>
        <v>0</v>
      </c>
      <c r="D34" s="46" t="s">
        <v>61</v>
      </c>
    </row>
    <row r="35" ht="15.75" customHeight="1">
      <c r="A35" s="46" t="s">
        <v>77</v>
      </c>
      <c r="B35" s="46" t="s">
        <v>86</v>
      </c>
      <c r="C35" s="46">
        <f>MIN(B34,B43)</f>
        <v>0</v>
      </c>
      <c r="D35" s="46" t="s">
        <v>61</v>
      </c>
    </row>
    <row r="36" ht="15.75" customHeight="1">
      <c r="A36" s="46" t="s">
        <v>77</v>
      </c>
      <c r="B36" s="46" t="s">
        <v>87</v>
      </c>
      <c r="C36" s="46">
        <f>MAX(0,B43-B44)</f>
        <v>0</v>
      </c>
      <c r="D36" s="46" t="s">
        <v>61</v>
      </c>
    </row>
    <row r="37" ht="15.75" customHeight="1">
      <c r="A37" s="46" t="s">
        <v>77</v>
      </c>
      <c r="B37" s="46" t="s">
        <v>88</v>
      </c>
      <c r="C37" s="46">
        <f>MIN(B35,B45)</f>
        <v>0</v>
      </c>
      <c r="D37" s="46" t="s">
        <v>61</v>
      </c>
    </row>
    <row r="38" ht="15.75" customHeight="1">
      <c r="A38" s="46" t="s">
        <v>77</v>
      </c>
      <c r="B38" s="46" t="s">
        <v>89</v>
      </c>
      <c r="C38" s="46">
        <f>MAX(0,B45-B46)</f>
        <v>0</v>
      </c>
      <c r="D38" s="46" t="s">
        <v>61</v>
      </c>
    </row>
    <row r="39" ht="15.75" customHeight="1">
      <c r="A39" s="46" t="s">
        <v>77</v>
      </c>
      <c r="B39" s="46" t="s">
        <v>90</v>
      </c>
      <c r="C39" s="46" t="str">
        <f>B47</f>
        <v/>
      </c>
      <c r="D39" s="46" t="s">
        <v>61</v>
      </c>
    </row>
    <row r="40" ht="15.75" customHeight="1">
      <c r="A40" s="46" t="s">
        <v>77</v>
      </c>
      <c r="B40" s="46" t="s">
        <v>91</v>
      </c>
      <c r="C40" s="46" t="str">
        <f>B38+B40+B42+B44+B46+B48</f>
        <v>#VALUE!</v>
      </c>
      <c r="D40" s="46" t="s">
        <v>61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5.14"/>
    <col customWidth="1" min="3" max="26" width="8.71"/>
  </cols>
  <sheetData>
    <row r="1">
      <c r="A1" s="48" t="s">
        <v>92</v>
      </c>
    </row>
    <row r="2">
      <c r="D2" s="49" t="s">
        <v>93</v>
      </c>
      <c r="E2" s="2"/>
      <c r="F2" s="2"/>
      <c r="G2" s="3"/>
    </row>
    <row r="3">
      <c r="A3" s="50" t="s">
        <v>94</v>
      </c>
    </row>
    <row r="5">
      <c r="A5" s="46" t="s">
        <v>95</v>
      </c>
      <c r="B5" s="51">
        <v>4860.0</v>
      </c>
    </row>
    <row r="6">
      <c r="A6" s="46" t="s">
        <v>96</v>
      </c>
      <c r="B6" s="51">
        <v>9430.0</v>
      </c>
    </row>
    <row r="7">
      <c r="A7" s="46" t="s">
        <v>97</v>
      </c>
      <c r="B7" s="51">
        <v>2300.0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G2"/>
  </mergeCell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2026-03-22T09:32:23Z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0x010100B0B3E4F76CD7584BBB4AF26D233D1447</vt:lpwstr>
  </property>
</Properties>
</file>